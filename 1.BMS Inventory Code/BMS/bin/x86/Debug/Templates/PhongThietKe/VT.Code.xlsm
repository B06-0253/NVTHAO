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workbookProtection workbookPassword="D23D" lockStructure="1"/>
  <bookViews>
    <workbookView xWindow="2100" yWindow="1215" windowWidth="15480" windowHeight="8250"/>
  </bookViews>
  <sheets>
    <sheet name="DMVT" sheetId="50" r:id="rId1"/>
    <sheet name="Data" sheetId="51" state="hidden" r:id="rId2"/>
  </sheets>
  <definedNames>
    <definedName name="ExternalData_1" localSheetId="0">DMVT!#REF!</definedName>
    <definedName name="ExternalData_10" localSheetId="0">DMVT!#REF!</definedName>
    <definedName name="ExternalData_100" localSheetId="0">DMVT!#REF!</definedName>
    <definedName name="ExternalData_101" localSheetId="0">DMVT!#REF!</definedName>
    <definedName name="ExternalData_102" localSheetId="0">DMVT!#REF!</definedName>
    <definedName name="ExternalData_103" localSheetId="0">DMVT!#REF!</definedName>
    <definedName name="ExternalData_104" localSheetId="0">DMVT!#REF!</definedName>
    <definedName name="ExternalData_105" localSheetId="0">DMVT!#REF!</definedName>
    <definedName name="ExternalData_106" localSheetId="0">DMVT!#REF!</definedName>
    <definedName name="ExternalData_107" localSheetId="0">DMVT!#REF!</definedName>
    <definedName name="ExternalData_108" localSheetId="0">DMVT!#REF!</definedName>
    <definedName name="ExternalData_109" localSheetId="0">DMVT!#REF!</definedName>
    <definedName name="ExternalData_11" localSheetId="0">DMVT!#REF!</definedName>
    <definedName name="ExternalData_110" localSheetId="0">DMVT!#REF!</definedName>
    <definedName name="ExternalData_111" localSheetId="0">DMVT!#REF!</definedName>
    <definedName name="ExternalData_112" localSheetId="0">DMVT!#REF!</definedName>
    <definedName name="ExternalData_113" localSheetId="0">DMVT!#REF!</definedName>
    <definedName name="ExternalData_114" localSheetId="0">DMVT!#REF!</definedName>
    <definedName name="ExternalData_115" localSheetId="0">DMVT!#REF!</definedName>
    <definedName name="ExternalData_116" localSheetId="0">DMVT!#REF!</definedName>
    <definedName name="ExternalData_117" localSheetId="0">DMVT!#REF!</definedName>
    <definedName name="ExternalData_118" localSheetId="0">DMVT!#REF!</definedName>
    <definedName name="ExternalData_119" localSheetId="0">DMVT!#REF!</definedName>
    <definedName name="ExternalData_12" localSheetId="0">DMVT!#REF!</definedName>
    <definedName name="ExternalData_120" localSheetId="0">DMVT!#REF!</definedName>
    <definedName name="ExternalData_121" localSheetId="0">DMVT!#REF!</definedName>
    <definedName name="ExternalData_122" localSheetId="0">DMVT!#REF!</definedName>
    <definedName name="ExternalData_123" localSheetId="0">DMVT!#REF!</definedName>
    <definedName name="ExternalData_124" localSheetId="0">DMVT!#REF!</definedName>
    <definedName name="ExternalData_125" localSheetId="0">DMVT!#REF!</definedName>
    <definedName name="ExternalData_126" localSheetId="0">DMVT!#REF!</definedName>
    <definedName name="ExternalData_127" localSheetId="0">DMVT!#REF!</definedName>
    <definedName name="ExternalData_128" localSheetId="0">DMVT!#REF!</definedName>
    <definedName name="ExternalData_129" localSheetId="0">DMVT!#REF!</definedName>
    <definedName name="ExternalData_13" localSheetId="0">DMVT!#REF!</definedName>
    <definedName name="ExternalData_130" localSheetId="0">DMVT!#REF!</definedName>
    <definedName name="ExternalData_131" localSheetId="0">DMVT!#REF!</definedName>
    <definedName name="ExternalData_132" localSheetId="0">DMVT!#REF!</definedName>
    <definedName name="ExternalData_133" localSheetId="0">DMVT!#REF!</definedName>
    <definedName name="ExternalData_134" localSheetId="0">DMVT!#REF!</definedName>
    <definedName name="ExternalData_135" localSheetId="0">DMVT!#REF!</definedName>
    <definedName name="ExternalData_136" localSheetId="0">DMVT!$A$7:$K$15</definedName>
    <definedName name="ExternalData_14" localSheetId="0">DMVT!#REF!</definedName>
    <definedName name="ExternalData_15" localSheetId="0">DMVT!#REF!</definedName>
    <definedName name="ExternalData_16" localSheetId="0">DMVT!#REF!</definedName>
    <definedName name="ExternalData_17" localSheetId="0">DMVT!#REF!</definedName>
    <definedName name="ExternalData_18" localSheetId="0">DMVT!#REF!</definedName>
    <definedName name="ExternalData_19" localSheetId="0">DMVT!#REF!</definedName>
    <definedName name="ExternalData_2" localSheetId="0">DMVT!#REF!</definedName>
    <definedName name="ExternalData_20" localSheetId="0">DMVT!#REF!</definedName>
    <definedName name="ExternalData_21" localSheetId="0">DMVT!#REF!</definedName>
    <definedName name="ExternalData_22" localSheetId="0">DMVT!#REF!</definedName>
    <definedName name="ExternalData_23" localSheetId="0">DMVT!#REF!</definedName>
    <definedName name="ExternalData_24" localSheetId="0">DMVT!#REF!</definedName>
    <definedName name="ExternalData_25" localSheetId="0">DMVT!#REF!</definedName>
    <definedName name="ExternalData_26" localSheetId="0">DMVT!#REF!</definedName>
    <definedName name="ExternalData_27" localSheetId="0">DMVT!#REF!</definedName>
    <definedName name="ExternalData_28" localSheetId="0">DMVT!#REF!</definedName>
    <definedName name="ExternalData_29" localSheetId="0">DMVT!#REF!</definedName>
    <definedName name="ExternalData_3" localSheetId="0">DMVT!#REF!</definedName>
    <definedName name="ExternalData_30" localSheetId="0">DMVT!#REF!</definedName>
    <definedName name="ExternalData_31" localSheetId="0">DMVT!#REF!</definedName>
    <definedName name="ExternalData_32" localSheetId="0">DMVT!#REF!</definedName>
    <definedName name="ExternalData_33" localSheetId="0">DMVT!#REF!</definedName>
    <definedName name="ExternalData_34" localSheetId="0">DMVT!#REF!</definedName>
    <definedName name="ExternalData_35" localSheetId="0">DMVT!#REF!</definedName>
    <definedName name="ExternalData_36" localSheetId="0">DMVT!#REF!</definedName>
    <definedName name="ExternalData_37" localSheetId="0">DMVT!#REF!</definedName>
    <definedName name="ExternalData_38" localSheetId="0">DMVT!#REF!</definedName>
    <definedName name="ExternalData_39" localSheetId="0">DMVT!#REF!</definedName>
    <definedName name="ExternalData_4" localSheetId="0">DMVT!#REF!</definedName>
    <definedName name="ExternalData_40" localSheetId="0">DMVT!#REF!</definedName>
    <definedName name="ExternalData_41" localSheetId="0">DMVT!#REF!</definedName>
    <definedName name="ExternalData_42" localSheetId="0">DMVT!#REF!</definedName>
    <definedName name="ExternalData_43" localSheetId="0">DMVT!#REF!</definedName>
    <definedName name="ExternalData_44" localSheetId="0">DMVT!#REF!</definedName>
    <definedName name="ExternalData_45" localSheetId="0">DMVT!#REF!</definedName>
    <definedName name="ExternalData_46" localSheetId="0">DMVT!#REF!</definedName>
    <definedName name="ExternalData_47" localSheetId="0">DMVT!#REF!</definedName>
    <definedName name="ExternalData_48" localSheetId="0">DMVT!#REF!</definedName>
    <definedName name="ExternalData_49" localSheetId="0">DMVT!#REF!</definedName>
    <definedName name="ExternalData_5" localSheetId="0">DMVT!#REF!</definedName>
    <definedName name="ExternalData_50" localSheetId="0">DMVT!#REF!</definedName>
    <definedName name="ExternalData_51" localSheetId="0">DMVT!#REF!</definedName>
    <definedName name="ExternalData_52" localSheetId="0">DMVT!#REF!</definedName>
    <definedName name="ExternalData_53" localSheetId="0">DMVT!#REF!</definedName>
    <definedName name="ExternalData_54" localSheetId="0">DMVT!#REF!</definedName>
    <definedName name="ExternalData_55" localSheetId="0">DMVT!#REF!</definedName>
    <definedName name="ExternalData_56" localSheetId="0">DMVT!#REF!</definedName>
    <definedName name="ExternalData_57" localSheetId="0">DMVT!#REF!</definedName>
    <definedName name="ExternalData_58" localSheetId="0">DMVT!#REF!</definedName>
    <definedName name="ExternalData_59" localSheetId="0">DMVT!#REF!</definedName>
    <definedName name="ExternalData_6" localSheetId="0">DMVT!#REF!</definedName>
    <definedName name="ExternalData_60" localSheetId="0">DMVT!#REF!</definedName>
    <definedName name="ExternalData_61" localSheetId="0">DMVT!#REF!</definedName>
    <definedName name="ExternalData_62" localSheetId="0">DMVT!#REF!</definedName>
    <definedName name="ExternalData_63" localSheetId="0">DMVT!#REF!</definedName>
    <definedName name="ExternalData_64" localSheetId="0">DMVT!#REF!</definedName>
    <definedName name="ExternalData_65" localSheetId="0">DMVT!#REF!</definedName>
    <definedName name="ExternalData_66" localSheetId="0">DMVT!#REF!</definedName>
    <definedName name="ExternalData_67" localSheetId="0">DMVT!#REF!</definedName>
    <definedName name="ExternalData_68" localSheetId="0">DMVT!#REF!</definedName>
    <definedName name="ExternalData_69" localSheetId="0">DMVT!#REF!</definedName>
    <definedName name="ExternalData_7" localSheetId="0">DMVT!#REF!</definedName>
    <definedName name="ExternalData_70" localSheetId="0">DMVT!#REF!</definedName>
    <definedName name="ExternalData_71" localSheetId="0">DMVT!#REF!</definedName>
    <definedName name="ExternalData_72" localSheetId="0">DMVT!#REF!</definedName>
    <definedName name="ExternalData_73" localSheetId="0">DMVT!#REF!</definedName>
    <definedName name="ExternalData_74" localSheetId="0">DMVT!#REF!</definedName>
    <definedName name="ExternalData_75" localSheetId="0">DMVT!#REF!</definedName>
    <definedName name="ExternalData_76" localSheetId="0">DMVT!#REF!</definedName>
    <definedName name="ExternalData_77" localSheetId="0">DMVT!#REF!</definedName>
    <definedName name="ExternalData_78" localSheetId="0">DMVT!#REF!</definedName>
    <definedName name="ExternalData_79" localSheetId="0">DMVT!#REF!</definedName>
    <definedName name="ExternalData_8" localSheetId="0">DMVT!#REF!</definedName>
    <definedName name="ExternalData_80" localSheetId="0">DMVT!#REF!</definedName>
    <definedName name="ExternalData_81" localSheetId="0">DMVT!#REF!</definedName>
    <definedName name="ExternalData_82" localSheetId="0">DMVT!#REF!</definedName>
    <definedName name="ExternalData_83" localSheetId="0">DMVT!#REF!</definedName>
    <definedName name="ExternalData_84" localSheetId="0">DMVT!#REF!</definedName>
    <definedName name="ExternalData_85" localSheetId="0">DMVT!#REF!</definedName>
    <definedName name="ExternalData_86" localSheetId="0">DMVT!#REF!</definedName>
    <definedName name="ExternalData_87" localSheetId="0">DMVT!#REF!</definedName>
    <definedName name="ExternalData_88" localSheetId="0">DMVT!#REF!</definedName>
    <definedName name="ExternalData_89" localSheetId="0">DMVT!#REF!</definedName>
    <definedName name="ExternalData_9" localSheetId="0">DMVT!#REF!</definedName>
    <definedName name="ExternalData_90" localSheetId="0">DMVT!#REF!</definedName>
    <definedName name="ExternalData_91" localSheetId="0">DMVT!#REF!</definedName>
    <definedName name="ExternalData_92" localSheetId="0">DMVT!#REF!</definedName>
    <definedName name="ExternalData_93" localSheetId="0">DMVT!#REF!</definedName>
    <definedName name="ExternalData_94" localSheetId="0">DMVT!#REF!</definedName>
    <definedName name="ExternalData_95" localSheetId="0">DMVT!#REF!</definedName>
    <definedName name="ExternalData_96" localSheetId="0">DMVT!#REF!</definedName>
    <definedName name="ExternalData_97" localSheetId="0">DMVT!#REF!</definedName>
    <definedName name="ExternalData_98" localSheetId="0">DMVT!#REF!</definedName>
    <definedName name="ExternalData_99" localSheetId="0">DMVT!#REF!</definedName>
    <definedName name="TAPD.C0104" localSheetId="0" hidden="1">DMVT!#REF!</definedName>
  </definedNames>
  <calcPr calcId="144525"/>
</workbook>
</file>

<file path=xl/calcChain.xml><?xml version="1.0" encoding="utf-8"?>
<calcChain xmlns="http://schemas.openxmlformats.org/spreadsheetml/2006/main">
  <c r="A1" i="51" l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Jet.OLEDB.4.0;Password=&quot;&quot;;User ID=Admin;Data Source=E:\Hoi\TAPD.C0104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2" keepAlive="1" name="Connection1" type="5" refreshedVersion="0" background="1">
    <dbPr connection="Provider=Microsoft.Jet.OLEDB.4.0;Password=&quot;&quot;;User ID=Admin;Data Source=D:\Thietke.Ck\TPAD.M\TPAD.M1001.Ck\3D.TPAD.M1001\TPAD.M10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3" keepAlive="1" name="Connection2" type="5" refreshedVersion="0" background="1">
    <dbPr connection="Provider=Microsoft.Jet.OLEDB.4.0;Password=&quot;&quot;;User ID=Admin;Data Source=D:\Thietke.Ck\TPAD.M\TPAD.M2201.Ck\TPAD.M22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4" sourceFile="D:\Thietke.Ck\TPAD.F\TPAD.F9960.Ck\3D.TPAD.F9960\VT.TPAD.F9960.mdb" keepAlive="1" name="Connection3" type="5" refreshedVersion="4" background="1" saveData="1">
    <dbPr connection="Provider=Microsoft.Jet.OLEDB.4.0;User ID=Admin;Data Source=D:\Thietke.Ck\TPAD.F\TPAD.F9960.Ck\3D.TPAD.F9960\VT.TPAD.F9960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BOM" commandType="3"/>
  </connection>
  <connection id="5" sourceFile="C:\Users\dat.nq\Desktop\Hoi\TAPD.C0104.mdb" keepAlive="1" name="TAPD.C0104" type="5" refreshedVersion="3">
    <dbPr connection="Provider=Microsoft.ACE.OLEDB.12.0;User ID=Admin;Data Source=C:\Users\dat.nq\Desktop\Hoi\TAPD.C0104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OM" commandType="3"/>
  </connection>
</connections>
</file>

<file path=xl/sharedStrings.xml><?xml version="1.0" encoding="utf-8"?>
<sst xmlns="http://schemas.openxmlformats.org/spreadsheetml/2006/main" count="146" uniqueCount="71">
  <si>
    <t>DANH MỤC VẬT TƯ</t>
  </si>
  <si>
    <t>Tên sản phẩm/Mạch in</t>
  </si>
  <si>
    <t>GIÁM ĐỐC</t>
  </si>
  <si>
    <t>TRƯỞNG BỘ PHẬN</t>
  </si>
  <si>
    <t>NGƯỜI LẬP</t>
  </si>
  <si>
    <t>Nhân viên thiết kế</t>
  </si>
  <si>
    <t>PHÍP TRẮNG</t>
  </si>
  <si>
    <t>PHÍP TT</t>
  </si>
  <si>
    <t>BỘ</t>
  </si>
  <si>
    <t>STT</t>
  </si>
  <si>
    <t>TÊN VẬT TƯ</t>
  </si>
  <si>
    <t>THÔNG SỐ</t>
  </si>
  <si>
    <t>MÃ VẬT TƯ</t>
  </si>
  <si>
    <t>MÃ VẬT LIỆU</t>
  </si>
  <si>
    <t>ĐV</t>
  </si>
  <si>
    <t>SL</t>
  </si>
  <si>
    <t>VL</t>
  </si>
  <si>
    <t>KL</t>
  </si>
  <si>
    <t>HÃNG SX</t>
  </si>
  <si>
    <t>GHI CHÚ</t>
  </si>
  <si>
    <t>1</t>
  </si>
  <si>
    <t>TPA</t>
  </si>
  <si>
    <t/>
  </si>
  <si>
    <t>CÁI</t>
  </si>
  <si>
    <t>2</t>
  </si>
  <si>
    <t>-</t>
  </si>
  <si>
    <t>4</t>
  </si>
  <si>
    <t>8</t>
  </si>
  <si>
    <t>AL6061</t>
  </si>
  <si>
    <t>GCCX</t>
  </si>
  <si>
    <t>CT3</t>
  </si>
  <si>
    <t>THANH.BV</t>
  </si>
  <si>
    <t>TEST CỤM CHECK CAMERA</t>
  </si>
  <si>
    <t>Mã: TPAD.F9960</t>
  </si>
  <si>
    <t>CỤM CHECK CAMERA</t>
  </si>
  <si>
    <t>TPAD.F9960.01</t>
  </si>
  <si>
    <t>E CU TỰ LỰA VUÔNG</t>
  </si>
  <si>
    <t>PN40A-M6-P</t>
  </si>
  <si>
    <t>DALIAN</t>
  </si>
  <si>
    <t>CHUP ĐÈN CAMERA</t>
  </si>
  <si>
    <t>TPAD.F9960.01.10</t>
  </si>
  <si>
    <t>THANH NHÔM ĐỨNG</t>
  </si>
  <si>
    <t>TPAD.F9960.01.01</t>
  </si>
  <si>
    <t>KẸP KÍNH</t>
  </si>
  <si>
    <t>TPAD.F9960.01.04</t>
  </si>
  <si>
    <t>POM</t>
  </si>
  <si>
    <t>THANH NHÔM NGANG</t>
  </si>
  <si>
    <t>TPAD.F9960.01.05</t>
  </si>
  <si>
    <t>GÁ CAMERA</t>
  </si>
  <si>
    <t>TPAD.F9960.01.06</t>
  </si>
  <si>
    <t>BASE</t>
  </si>
  <si>
    <t>TPAD.F9960.01.07</t>
  </si>
  <si>
    <t>CHẶN KÍNH</t>
  </si>
  <si>
    <t>TPAD.F9960.01.09</t>
  </si>
  <si>
    <t>Tân Phát: Ngày 9 Tháng 5 Năm 2016</t>
  </si>
  <si>
    <t>DATP24-460</t>
  </si>
  <si>
    <t>DATP31-6000</t>
  </si>
  <si>
    <t>MÃ NHÓM VT</t>
  </si>
  <si>
    <t>TÊN NHÓM VT</t>
  </si>
  <si>
    <t>TPAVT.X03</t>
  </si>
  <si>
    <t>ECU TỰ LỰA</t>
  </si>
  <si>
    <t>6ES7214-1AG40-0XB0</t>
  </si>
  <si>
    <t>CPU 1214C DC/DC/DC</t>
  </si>
  <si>
    <t>SIEMENS</t>
  </si>
  <si>
    <t>TPAVT.A01</t>
  </si>
  <si>
    <t>BỘ LOGIC KHẢ TRÌNH PLC SIEMENS</t>
  </si>
  <si>
    <t>BKN2PC16A</t>
  </si>
  <si>
    <t>ATTOMAT 2P BKN C16A LS</t>
  </si>
  <si>
    <t>TPAVT.C01</t>
  </si>
  <si>
    <t>ATTOMAT</t>
  </si>
  <si>
    <t>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</si>
</sst>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104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i/>
      <sz val="11"/>
      <name val="Times New Roman"/>
      <family val="1"/>
    </font>
    <font>
      <b/>
      <i/>
      <sz val="12"/>
      <color indexed="8"/>
      <name val="Times New Roman"/>
      <family val="1"/>
    </font>
    <font>
      <b/>
      <sz val="12"/>
      <color theme="1"/>
      <name val="Times New Roman"/>
      <family val="1"/>
    </font>
    <font>
      <sz val="10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06">
    <xf numFmtId="0" fontId="0" fillId="0" borderId="0"/>
    <xf numFmtId="181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182" fontId="34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165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0" fontId="39" fillId="0" borderId="0" applyNumberFormat="0" applyFill="0" applyBorder="0" applyAlignment="0" applyProtection="0"/>
    <xf numFmtId="0" fontId="1" fillId="0" borderId="0"/>
    <xf numFmtId="0" fontId="40" fillId="2" borderId="0"/>
    <xf numFmtId="0" fontId="41" fillId="2" borderId="0"/>
    <xf numFmtId="0" fontId="3" fillId="3" borderId="0" applyNumberFormat="0" applyBorder="0" applyAlignment="0" applyProtection="0"/>
    <xf numFmtId="0" fontId="42" fillId="3" borderId="0" applyNumberFormat="0" applyBorder="0" applyAlignment="0" applyProtection="0"/>
    <xf numFmtId="0" fontId="3" fillId="4" borderId="0" applyNumberFormat="0" applyBorder="0" applyAlignment="0" applyProtection="0"/>
    <xf numFmtId="0" fontId="42" fillId="4" borderId="0" applyNumberFormat="0" applyBorder="0" applyAlignment="0" applyProtection="0"/>
    <xf numFmtId="0" fontId="3" fillId="5" borderId="0" applyNumberFormat="0" applyBorder="0" applyAlignment="0" applyProtection="0"/>
    <xf numFmtId="0" fontId="42" fillId="5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7" borderId="0" applyNumberFormat="0" applyBorder="0" applyAlignment="0" applyProtection="0"/>
    <xf numFmtId="0" fontId="42" fillId="7" borderId="0" applyNumberFormat="0" applyBorder="0" applyAlignment="0" applyProtection="0"/>
    <xf numFmtId="0" fontId="3" fillId="8" borderId="0" applyNumberFormat="0" applyBorder="0" applyAlignment="0" applyProtection="0"/>
    <xf numFmtId="0" fontId="42" fillId="8" borderId="0" applyNumberFormat="0" applyBorder="0" applyAlignment="0" applyProtection="0"/>
    <xf numFmtId="0" fontId="43" fillId="2" borderId="0"/>
    <xf numFmtId="0" fontId="44" fillId="0" borderId="0">
      <alignment wrapText="1"/>
    </xf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0" borderId="0" applyNumberFormat="0" applyBorder="0" applyAlignment="0" applyProtection="0"/>
    <xf numFmtId="0" fontId="42" fillId="10" borderId="0" applyNumberFormat="0" applyBorder="0" applyAlignment="0" applyProtection="0"/>
    <xf numFmtId="0" fontId="3" fillId="11" borderId="0" applyNumberFormat="0" applyBorder="0" applyAlignment="0" applyProtection="0"/>
    <xf numFmtId="0" fontId="42" fillId="11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2" borderId="0" applyNumberFormat="0" applyBorder="0" applyAlignment="0" applyProtection="0"/>
    <xf numFmtId="0" fontId="42" fillId="12" borderId="0" applyNumberFormat="0" applyBorder="0" applyAlignment="0" applyProtection="0"/>
    <xf numFmtId="0" fontId="12" fillId="13" borderId="0" applyNumberFormat="0" applyBorder="0" applyAlignment="0" applyProtection="0"/>
    <xf numFmtId="0" fontId="45" fillId="13" borderId="0" applyNumberFormat="0" applyBorder="0" applyAlignment="0" applyProtection="0"/>
    <xf numFmtId="0" fontId="12" fillId="10" borderId="0" applyNumberFormat="0" applyBorder="0" applyAlignment="0" applyProtection="0"/>
    <xf numFmtId="0" fontId="45" fillId="10" borderId="0" applyNumberFormat="0" applyBorder="0" applyAlignment="0" applyProtection="0"/>
    <xf numFmtId="0" fontId="12" fillId="11" borderId="0" applyNumberFormat="0" applyBorder="0" applyAlignment="0" applyProtection="0"/>
    <xf numFmtId="0" fontId="45" fillId="11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16" borderId="0" applyNumberFormat="0" applyBorder="0" applyAlignment="0" applyProtection="0"/>
    <xf numFmtId="0" fontId="45" fillId="16" borderId="0" applyNumberFormat="0" applyBorder="0" applyAlignment="0" applyProtection="0"/>
    <xf numFmtId="0" fontId="12" fillId="17" borderId="0" applyNumberFormat="0" applyBorder="0" applyAlignment="0" applyProtection="0"/>
    <xf numFmtId="0" fontId="45" fillId="17" borderId="0" applyNumberFormat="0" applyBorder="0" applyAlignment="0" applyProtection="0"/>
    <xf numFmtId="0" fontId="12" fillId="18" borderId="0" applyNumberFormat="0" applyBorder="0" applyAlignment="0" applyProtection="0"/>
    <xf numFmtId="0" fontId="45" fillId="18" borderId="0" applyNumberFormat="0" applyBorder="0" applyAlignment="0" applyProtection="0"/>
    <xf numFmtId="0" fontId="12" fillId="19" borderId="0" applyNumberFormat="0" applyBorder="0" applyAlignment="0" applyProtection="0"/>
    <xf numFmtId="0" fontId="45" fillId="19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20" borderId="0" applyNumberFormat="0" applyBorder="0" applyAlignment="0" applyProtection="0"/>
    <xf numFmtId="0" fontId="45" fillId="20" borderId="0" applyNumberFormat="0" applyBorder="0" applyAlignment="0" applyProtection="0"/>
    <xf numFmtId="0" fontId="11" fillId="0" borderId="0" applyNumberFormat="0" applyAlignment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13" fillId="4" borderId="0" applyNumberFormat="0" applyBorder="0" applyAlignment="0" applyProtection="0"/>
    <xf numFmtId="0" fontId="47" fillId="4" borderId="0" applyNumberFormat="0" applyBorder="0" applyAlignment="0" applyProtection="0"/>
    <xf numFmtId="0" fontId="46" fillId="0" borderId="0"/>
    <xf numFmtId="0" fontId="48" fillId="0" borderId="0"/>
    <xf numFmtId="0" fontId="46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4" fillId="21" borderId="1" applyNumberFormat="0" applyAlignment="0" applyProtection="0"/>
    <xf numFmtId="0" fontId="49" fillId="21" borderId="1" applyNumberFormat="0" applyAlignment="0" applyProtection="0"/>
    <xf numFmtId="0" fontId="50" fillId="0" borderId="0"/>
    <xf numFmtId="0" fontId="15" fillId="22" borderId="2" applyNumberFormat="0" applyAlignment="0" applyProtection="0"/>
    <xf numFmtId="0" fontId="51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3" fillId="0" borderId="0" applyFill="0" applyBorder="0" applyAlignment="0"/>
    <xf numFmtId="41" fontId="54" fillId="0" borderId="0" applyFont="0" applyFill="0" applyBorder="0" applyAlignment="0" applyProtection="0"/>
    <xf numFmtId="4" fontId="55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7" fillId="5" borderId="0" applyNumberFormat="0" applyBorder="0" applyAlignment="0" applyProtection="0"/>
    <xf numFmtId="0" fontId="58" fillId="5" borderId="0" applyNumberFormat="0" applyBorder="0" applyAlignment="0" applyProtection="0"/>
    <xf numFmtId="38" fontId="11" fillId="23" borderId="0" applyNumberFormat="0" applyBorder="0" applyAlignment="0" applyProtection="0"/>
    <xf numFmtId="0" fontId="59" fillId="0" borderId="0" applyNumberFormat="0" applyFont="0" applyBorder="0" applyAlignment="0">
      <alignment horizontal="left" vertical="center"/>
    </xf>
    <xf numFmtId="0" fontId="60" fillId="0" borderId="0">
      <alignment horizontal="left"/>
    </xf>
    <xf numFmtId="0" fontId="61" fillId="0" borderId="3" applyNumberFormat="0" applyAlignment="0" applyProtection="0">
      <alignment horizontal="left" vertical="center"/>
    </xf>
    <xf numFmtId="0" fontId="61" fillId="0" borderId="4">
      <alignment horizontal="left" vertical="center"/>
    </xf>
    <xf numFmtId="0" fontId="18" fillId="0" borderId="5" applyNumberFormat="0" applyFill="0" applyAlignment="0" applyProtection="0"/>
    <xf numFmtId="0" fontId="62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63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5" fontId="64" fillId="24" borderId="8" applyNumberFormat="0" applyAlignment="0">
      <alignment horizontal="left" vertical="top"/>
    </xf>
    <xf numFmtId="49" fontId="65" fillId="0" borderId="8">
      <alignment vertical="center"/>
    </xf>
    <xf numFmtId="0" fontId="95" fillId="0" borderId="0" applyNumberFormat="0" applyFill="0" applyBorder="0" applyAlignment="0" applyProtection="0">
      <alignment vertical="top"/>
      <protection locked="0"/>
    </xf>
    <xf numFmtId="10" fontId="11" fillId="23" borderId="8" applyNumberFormat="0" applyBorder="0" applyAlignment="0" applyProtection="0"/>
    <xf numFmtId="0" fontId="21" fillId="8" borderId="1" applyNumberFormat="0" applyAlignment="0" applyProtection="0"/>
    <xf numFmtId="0" fontId="66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2" fillId="0" borderId="9" applyNumberFormat="0" applyFill="0" applyAlignment="0" applyProtection="0"/>
    <xf numFmtId="0" fontId="67" fillId="0" borderId="9" applyNumberFormat="0" applyFill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0" fontId="68" fillId="0" borderId="10"/>
    <xf numFmtId="177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31" fillId="0" borderId="0" applyNumberFormat="0" applyFont="0" applyFill="0" applyAlignment="0"/>
    <xf numFmtId="0" fontId="23" fillId="25" borderId="0" applyNumberFormat="0" applyBorder="0" applyAlignment="0" applyProtection="0"/>
    <xf numFmtId="0" fontId="69" fillId="25" borderId="0" applyNumberFormat="0" applyBorder="0" applyAlignment="0" applyProtection="0"/>
    <xf numFmtId="0" fontId="70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28" fillId="0" borderId="0"/>
    <xf numFmtId="0" fontId="28" fillId="0" borderId="0"/>
    <xf numFmtId="0" fontId="1" fillId="0" borderId="0"/>
    <xf numFmtId="0" fontId="5" fillId="0" borderId="0"/>
    <xf numFmtId="0" fontId="2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3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56" fillId="0" borderId="0"/>
    <xf numFmtId="0" fontId="1" fillId="26" borderId="11" applyNumberFormat="0" applyFont="0" applyAlignment="0" applyProtection="0"/>
    <xf numFmtId="0" fontId="42" fillId="26" borderId="11" applyNumberFormat="0" applyFont="0" applyAlignment="0" applyProtection="0"/>
    <xf numFmtId="0" fontId="24" fillId="21" borderId="12" applyNumberFormat="0" applyAlignment="0" applyProtection="0"/>
    <xf numFmtId="0" fontId="71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2" fillId="27" borderId="13" applyNumberFormat="0" applyProtection="0">
      <alignment vertical="center"/>
    </xf>
    <xf numFmtId="4" fontId="73" fillId="27" borderId="13" applyNumberFormat="0" applyProtection="0">
      <alignment vertical="center"/>
    </xf>
    <xf numFmtId="4" fontId="74" fillId="27" borderId="13" applyNumberFormat="0" applyProtection="0">
      <alignment horizontal="left" vertical="center" indent="1"/>
    </xf>
    <xf numFmtId="4" fontId="74" fillId="28" borderId="0" applyNumberFormat="0" applyProtection="0">
      <alignment horizontal="left" vertical="center" indent="1"/>
    </xf>
    <xf numFmtId="4" fontId="74" fillId="29" borderId="13" applyNumberFormat="0" applyProtection="0">
      <alignment horizontal="right" vertical="center"/>
    </xf>
    <xf numFmtId="4" fontId="74" fillId="30" borderId="13" applyNumberFormat="0" applyProtection="0">
      <alignment horizontal="right" vertical="center"/>
    </xf>
    <xf numFmtId="4" fontId="74" fillId="31" borderId="13" applyNumberFormat="0" applyProtection="0">
      <alignment horizontal="right" vertical="center"/>
    </xf>
    <xf numFmtId="4" fontId="74" fillId="32" borderId="13" applyNumberFormat="0" applyProtection="0">
      <alignment horizontal="right" vertical="center"/>
    </xf>
    <xf numFmtId="4" fontId="74" fillId="33" borderId="13" applyNumberFormat="0" applyProtection="0">
      <alignment horizontal="right" vertical="center"/>
    </xf>
    <xf numFmtId="4" fontId="74" fillId="34" borderId="13" applyNumberFormat="0" applyProtection="0">
      <alignment horizontal="right" vertical="center"/>
    </xf>
    <xf numFmtId="4" fontId="74" fillId="35" borderId="13" applyNumberFormat="0" applyProtection="0">
      <alignment horizontal="right" vertical="center"/>
    </xf>
    <xf numFmtId="4" fontId="74" fillId="36" borderId="13" applyNumberFormat="0" applyProtection="0">
      <alignment horizontal="right" vertical="center"/>
    </xf>
    <xf numFmtId="4" fontId="74" fillId="37" borderId="13" applyNumberFormat="0" applyProtection="0">
      <alignment horizontal="right" vertical="center"/>
    </xf>
    <xf numFmtId="4" fontId="72" fillId="38" borderId="14" applyNumberFormat="0" applyProtection="0">
      <alignment horizontal="left" vertical="center" indent="1"/>
    </xf>
    <xf numFmtId="4" fontId="72" fillId="39" borderId="0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4" fillId="39" borderId="13" applyNumberFormat="0" applyProtection="0">
      <alignment horizontal="right" vertical="center"/>
    </xf>
    <xf numFmtId="4" fontId="53" fillId="39" borderId="0" applyNumberFormat="0" applyProtection="0">
      <alignment horizontal="left" vertical="center" indent="1"/>
    </xf>
    <xf numFmtId="4" fontId="53" fillId="28" borderId="0" applyNumberFormat="0" applyProtection="0">
      <alignment horizontal="left" vertical="center" indent="1"/>
    </xf>
    <xf numFmtId="4" fontId="74" fillId="40" borderId="13" applyNumberFormat="0" applyProtection="0">
      <alignment vertical="center"/>
    </xf>
    <xf numFmtId="4" fontId="75" fillId="40" borderId="13" applyNumberFormat="0" applyProtection="0">
      <alignment vertical="center"/>
    </xf>
    <xf numFmtId="4" fontId="72" fillId="39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4" fontId="75" fillId="40" borderId="13" applyNumberFormat="0" applyProtection="0">
      <alignment horizontal="right" vertical="center"/>
    </xf>
    <xf numFmtId="4" fontId="72" fillId="39" borderId="13" applyNumberFormat="0" applyProtection="0">
      <alignment horizontal="left" vertical="center" indent="1"/>
    </xf>
    <xf numFmtId="4" fontId="76" fillId="24" borderId="15" applyNumberFormat="0" applyProtection="0">
      <alignment horizontal="left" vertical="center" indent="1"/>
    </xf>
    <xf numFmtId="4" fontId="77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2" fillId="0" borderId="0"/>
    <xf numFmtId="0" fontId="32" fillId="0" borderId="0"/>
    <xf numFmtId="0" fontId="68" fillId="0" borderId="0"/>
    <xf numFmtId="49" fontId="53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9" fillId="0" borderId="0"/>
    <xf numFmtId="0" fontId="25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1" fillId="0" borderId="17" applyNumberFormat="0" applyFont="0" applyFill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9" fillId="41" borderId="18">
      <alignment vertical="top"/>
    </xf>
    <xf numFmtId="0" fontId="30" fillId="42" borderId="8">
      <alignment horizontal="left" vertical="center"/>
    </xf>
    <xf numFmtId="6" fontId="80" fillId="43" borderId="18"/>
    <xf numFmtId="5" fontId="64" fillId="0" borderId="18">
      <alignment horizontal="left" vertical="top"/>
    </xf>
    <xf numFmtId="0" fontId="81" fillId="44" borderId="0">
      <alignment horizontal="left" vertical="center"/>
    </xf>
    <xf numFmtId="5" fontId="39" fillId="0" borderId="19">
      <alignment horizontal="left" vertical="top"/>
    </xf>
    <xf numFmtId="0" fontId="82" fillId="0" borderId="19">
      <alignment horizontal="left" vertical="center"/>
    </xf>
    <xf numFmtId="42" fontId="54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" fillId="0" borderId="0">
      <alignment vertical="center"/>
    </xf>
    <xf numFmtId="40" fontId="85" fillId="0" borderId="0" applyFont="0" applyFill="0" applyBorder="0" applyAlignment="0" applyProtection="0"/>
    <xf numFmtId="38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87" fillId="0" borderId="0"/>
    <xf numFmtId="173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75" fontId="89" fillId="0" borderId="0" applyFont="0" applyFill="0" applyBorder="0" applyAlignment="0" applyProtection="0"/>
    <xf numFmtId="174" fontId="89" fillId="0" borderId="0" applyFont="0" applyFill="0" applyBorder="0" applyAlignment="0" applyProtection="0"/>
    <xf numFmtId="0" fontId="90" fillId="0" borderId="0"/>
    <xf numFmtId="0" fontId="31" fillId="0" borderId="0"/>
    <xf numFmtId="165" fontId="88" fillId="0" borderId="0" applyFont="0" applyFill="0" applyBorder="0" applyAlignment="0" applyProtection="0"/>
    <xf numFmtId="166" fontId="88" fillId="0" borderId="0" applyFont="0" applyFill="0" applyBorder="0" applyAlignment="0" applyProtection="0"/>
    <xf numFmtId="179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/>
    <xf numFmtId="172" fontId="88" fillId="0" borderId="0" applyFont="0" applyFill="0" applyBorder="0" applyAlignment="0" applyProtection="0"/>
    <xf numFmtId="167" fontId="91" fillId="0" borderId="0" applyFont="0" applyFill="0" applyBorder="0" applyAlignment="0" applyProtection="0"/>
    <xf numFmtId="180" fontId="88" fillId="0" borderId="0" applyFont="0" applyFill="0" applyBorder="0" applyAlignment="0" applyProtection="0"/>
    <xf numFmtId="16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5" fillId="0" borderId="0"/>
    <xf numFmtId="0" fontId="94" fillId="0" borderId="0"/>
    <xf numFmtId="0" fontId="94" fillId="0" borderId="0"/>
    <xf numFmtId="0" fontId="94" fillId="0" borderId="0"/>
  </cellStyleXfs>
  <cellXfs count="30">
    <xf numFmtId="0" fontId="0" fillId="0" borderId="0" xfId="0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wrapText="1"/>
    </xf>
    <xf numFmtId="0" fontId="8" fillId="0" borderId="0" xfId="0" applyFont="1" applyBorder="1" applyAlignment="1">
      <alignment horizontal="left" wrapText="1"/>
    </xf>
    <xf numFmtId="0" fontId="8" fillId="0" borderId="0" xfId="0" applyFont="1" applyBorder="1" applyAlignment="1">
      <alignment horizontal="left"/>
    </xf>
    <xf numFmtId="0" fontId="100" fillId="0" borderId="0" xfId="0" applyFont="1"/>
    <xf numFmtId="0" fontId="29" fillId="0" borderId="0" xfId="0" applyFont="1"/>
    <xf numFmtId="0" fontId="98" fillId="0" borderId="0" xfId="0" applyFont="1" applyFill="1" applyBorder="1" applyAlignment="1">
      <alignment horizontal="left" vertical="center"/>
    </xf>
    <xf numFmtId="0" fontId="9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02" fillId="0" borderId="18" xfId="902" applyFont="1" applyFill="1" applyBorder="1" applyAlignment="1">
      <alignment horizontal="center" vertical="center"/>
    </xf>
    <xf numFmtId="0" fontId="97" fillId="0" borderId="18" xfId="902" applyFont="1" applyFill="1" applyBorder="1" applyAlignment="1">
      <alignment horizontal="center" vertical="center"/>
    </xf>
    <xf numFmtId="0" fontId="97" fillId="0" borderId="0" xfId="0" applyFont="1" applyAlignment="1">
      <alignment horizontal="left"/>
    </xf>
    <xf numFmtId="0" fontId="8" fillId="0" borderId="8" xfId="0" applyFont="1" applyBorder="1" applyAlignment="1">
      <alignment horizontal="left" wrapText="1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2" fillId="0" borderId="18" xfId="902" applyFont="1" applyFill="1" applyBorder="1" applyAlignment="1">
      <alignment horizontal="center" vertical="center" wrapText="1"/>
    </xf>
    <xf numFmtId="0" fontId="8" fillId="0" borderId="8" xfId="0" applyFont="1" applyBorder="1" applyAlignment="1">
      <alignment horizontal="left" vertical="center" wrapText="1"/>
    </xf>
    <xf numFmtId="0" fontId="99" fillId="0" borderId="8" xfId="0" applyFont="1" applyFill="1" applyBorder="1" applyAlignment="1">
      <alignment horizontal="left" vertical="center"/>
    </xf>
    <xf numFmtId="0" fontId="0" fillId="0" borderId="8" xfId="0" applyBorder="1"/>
    <xf numFmtId="0" fontId="7" fillId="0" borderId="0" xfId="0" applyFont="1" applyAlignment="1">
      <alignment horizontal="center" vertical="center" wrapText="1"/>
    </xf>
    <xf numFmtId="0" fontId="96" fillId="0" borderId="0" xfId="0" applyFont="1" applyFill="1" applyAlignment="1">
      <alignment horizontal="center" vertical="center" wrapText="1"/>
    </xf>
    <xf numFmtId="0" fontId="98" fillId="0" borderId="20" xfId="0" applyFont="1" applyFill="1" applyBorder="1" applyAlignment="1">
      <alignment horizontal="left" vertical="center"/>
    </xf>
    <xf numFmtId="0" fontId="98" fillId="0" borderId="21" xfId="0" applyFont="1" applyFill="1" applyBorder="1" applyAlignment="1">
      <alignment horizontal="left" vertical="center"/>
    </xf>
    <xf numFmtId="0" fontId="98" fillId="0" borderId="8" xfId="0" applyFont="1" applyFill="1" applyBorder="1" applyAlignment="1">
      <alignment horizontal="left" vertical="center"/>
    </xf>
    <xf numFmtId="0" fontId="101" fillId="0" borderId="8" xfId="0" quotePrefix="1" applyFont="1" applyBorder="1" applyAlignment="1">
      <alignment horizontal="left" wrapText="1"/>
    </xf>
  </cellXfs>
  <cellStyles count="906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193" xfId="905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12</xdr:col>
      <xdr:colOff>127613</xdr:colOff>
      <xdr:row>1</xdr:row>
      <xdr:rowOff>0</xdr:rowOff>
    </xdr:to>
    <xdr:pic>
      <xdr:nvPicPr>
        <xdr:cNvPr id="88853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11</xdr:col>
      <xdr:colOff>763554</xdr:colOff>
      <xdr:row>1</xdr:row>
      <xdr:rowOff>0</xdr:rowOff>
    </xdr:to>
    <xdr:pic>
      <xdr:nvPicPr>
        <xdr:cNvPr id="88866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0</xdr:row>
          <xdr:rowOff>104775</xdr:rowOff>
        </xdr:from>
        <xdr:to>
          <xdr:col>11</xdr:col>
          <xdr:colOff>0</xdr:colOff>
          <xdr:row>0</xdr:row>
          <xdr:rowOff>533400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1457325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9</xdr:col>
      <xdr:colOff>164631</xdr:colOff>
      <xdr:row>0</xdr:row>
      <xdr:rowOff>1445559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8008056" cy="1445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57149</xdr:colOff>
          <xdr:row>0</xdr:row>
          <xdr:rowOff>101366</xdr:rowOff>
        </xdr:from>
        <xdr:to>
          <xdr:col>11</xdr:col>
          <xdr:colOff>838199</xdr:colOff>
          <xdr:row>0</xdr:row>
          <xdr:rowOff>520466</xdr:rowOff>
        </xdr:to>
        <xdr:sp macro="" textlink="">
          <xdr:nvSpPr>
            <xdr:cNvPr id="1028" name="cmdBOM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36" adjustColumnWidth="0" connectionId="4" autoFormatId="16" applyNumberFormats="0" applyBorderFormats="0" applyFontFormats="1" applyPatternFormats="1" applyAlignmentFormats="0" applyWidthHeightFormats="0">
  <queryTableRefresh headersInLastRefresh="0" nextId="12">
    <queryTableFields count="11">
      <queryTableField id="1" name="Item"/>
      <queryTableField id="2" name="Title"/>
      <queryTableField id="3" name="Category"/>
      <queryTableField id="4" name="Part Number"/>
      <queryTableField id="5" name="Subject"/>
      <queryTableField id="6" name="Manager"/>
      <queryTableField id="7" name="QTY"/>
      <queryTableField id="8" name="Material"/>
      <queryTableField id="9" name="Mass"/>
      <queryTableField id="10" name="Company"/>
      <queryTableField id="11" name="Statu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2"/>
  <sheetViews>
    <sheetView tabSelected="1" view="pageLayout" zoomScale="81" zoomScaleNormal="100" zoomScaleSheetLayoutView="100" zoomScalePageLayoutView="81" workbookViewId="0">
      <selection activeCell="M1" sqref="M1"/>
    </sheetView>
  </sheetViews>
  <sheetFormatPr defaultColWidth="9.140625" defaultRowHeight="15.75"/>
  <cols>
    <col min="1" max="1" width="5.28515625" style="2" customWidth="1"/>
    <col min="2" max="2" width="27.28515625" style="3" customWidth="1"/>
    <col min="3" max="3" width="12" style="3" customWidth="1"/>
    <col min="4" max="4" width="21.140625" style="3" customWidth="1"/>
    <col min="5" max="5" width="16.140625" style="3" customWidth="1"/>
    <col min="6" max="6" width="5.28515625" style="3" customWidth="1"/>
    <col min="7" max="7" width="6.5703125" style="3" customWidth="1"/>
    <col min="8" max="8" width="11.5703125" style="3" customWidth="1"/>
    <col min="9" max="9" width="6.5703125" style="3" customWidth="1"/>
    <col min="10" max="10" width="10.7109375" style="4" customWidth="1"/>
    <col min="11" max="11" width="9.85546875" style="3" customWidth="1"/>
    <col min="12" max="13" width="13.28515625" style="2" customWidth="1"/>
    <col min="14" max="16384" width="9.140625" style="2"/>
  </cols>
  <sheetData>
    <row r="1" spans="1:13" ht="127.9" customHeight="1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3" s="1" customFormat="1" ht="28.15" customHeight="1">
      <c r="A2" s="25" t="s">
        <v>0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3" s="6" customFormat="1">
      <c r="A3" s="26" t="s">
        <v>1</v>
      </c>
      <c r="B3" s="27"/>
      <c r="C3" s="22" t="s">
        <v>32</v>
      </c>
      <c r="D3" s="23"/>
      <c r="E3" s="23"/>
      <c r="F3" s="23"/>
      <c r="G3" s="23"/>
      <c r="H3" s="23"/>
      <c r="I3" s="23"/>
      <c r="J3" s="28" t="s">
        <v>33</v>
      </c>
      <c r="K3" s="28"/>
      <c r="L3" s="28"/>
      <c r="M3" s="28"/>
    </row>
    <row r="4" spans="1:13" s="6" customFormat="1" ht="20.45" customHeight="1">
      <c r="A4" s="26" t="s">
        <v>5</v>
      </c>
      <c r="B4" s="27"/>
      <c r="C4" s="29" t="s">
        <v>31</v>
      </c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3" s="6" customFormat="1" ht="16.5" customHeight="1">
      <c r="A5" s="9"/>
      <c r="B5" s="9"/>
      <c r="C5" s="10"/>
      <c r="D5" s="9"/>
      <c r="E5" s="10"/>
      <c r="F5" s="10"/>
      <c r="G5" s="10"/>
      <c r="H5" s="10"/>
      <c r="I5" s="10"/>
      <c r="J5" s="10"/>
      <c r="K5" s="9"/>
      <c r="L5" s="5"/>
    </row>
    <row r="6" spans="1:13" s="11" customFormat="1" ht="35.25" customHeight="1">
      <c r="A6" s="12" t="s">
        <v>9</v>
      </c>
      <c r="B6" s="12" t="s">
        <v>10</v>
      </c>
      <c r="C6" s="13" t="s">
        <v>11</v>
      </c>
      <c r="D6" s="12" t="s">
        <v>12</v>
      </c>
      <c r="E6" s="12" t="s">
        <v>13</v>
      </c>
      <c r="F6" s="13" t="s">
        <v>14</v>
      </c>
      <c r="G6" s="12" t="s">
        <v>15</v>
      </c>
      <c r="H6" s="12" t="s">
        <v>16</v>
      </c>
      <c r="I6" s="12" t="s">
        <v>17</v>
      </c>
      <c r="J6" s="12" t="s">
        <v>18</v>
      </c>
      <c r="K6" s="12" t="s">
        <v>19</v>
      </c>
      <c r="L6" s="20" t="s">
        <v>57</v>
      </c>
      <c r="M6" s="20" t="s">
        <v>58</v>
      </c>
    </row>
    <row r="7" spans="1:13">
      <c r="A7" s="16" t="s">
        <v>20</v>
      </c>
      <c r="B7" s="15" t="s">
        <v>34</v>
      </c>
      <c r="C7" s="18" t="s">
        <v>21</v>
      </c>
      <c r="D7" s="15" t="s">
        <v>35</v>
      </c>
      <c r="E7" s="15" t="s">
        <v>22</v>
      </c>
      <c r="F7" s="18" t="s">
        <v>8</v>
      </c>
      <c r="G7" s="18" t="s">
        <v>20</v>
      </c>
      <c r="H7" s="15" t="s">
        <v>25</v>
      </c>
      <c r="I7" s="15" t="s">
        <v>25</v>
      </c>
      <c r="J7" s="18" t="s">
        <v>21</v>
      </c>
      <c r="K7" s="15" t="s">
        <v>22</v>
      </c>
      <c r="L7" s="15"/>
      <c r="M7" s="15"/>
    </row>
    <row r="8" spans="1:13" ht="31.5">
      <c r="A8" s="16">
        <v>1.1000000000000001</v>
      </c>
      <c r="B8" s="15" t="s">
        <v>36</v>
      </c>
      <c r="C8" s="18" t="s">
        <v>22</v>
      </c>
      <c r="D8" s="15" t="s">
        <v>37</v>
      </c>
      <c r="E8" s="15" t="s">
        <v>22</v>
      </c>
      <c r="F8" s="18" t="s">
        <v>23</v>
      </c>
      <c r="G8" s="18" t="s">
        <v>27</v>
      </c>
      <c r="H8" s="15" t="s">
        <v>30</v>
      </c>
      <c r="I8" s="15">
        <v>1.2E-2</v>
      </c>
      <c r="J8" s="18" t="s">
        <v>38</v>
      </c>
      <c r="K8" s="15" t="s">
        <v>22</v>
      </c>
      <c r="L8" s="15" t="s">
        <v>59</v>
      </c>
      <c r="M8" s="15" t="s">
        <v>60</v>
      </c>
    </row>
    <row r="9" spans="1:13" ht="31.5">
      <c r="A9" s="16">
        <v>1.2</v>
      </c>
      <c r="B9" s="15" t="s">
        <v>39</v>
      </c>
      <c r="C9" s="18" t="s">
        <v>21</v>
      </c>
      <c r="D9" s="15" t="s">
        <v>40</v>
      </c>
      <c r="E9" s="15" t="s">
        <v>22</v>
      </c>
      <c r="F9" s="18" t="s">
        <v>23</v>
      </c>
      <c r="G9" s="18" t="s">
        <v>24</v>
      </c>
      <c r="H9" s="15" t="s">
        <v>6</v>
      </c>
      <c r="I9" s="15">
        <v>0.83399999999999996</v>
      </c>
      <c r="J9" s="18" t="s">
        <v>21</v>
      </c>
      <c r="K9" s="15" t="s">
        <v>22</v>
      </c>
      <c r="L9" s="15" t="s">
        <v>22</v>
      </c>
      <c r="M9" s="15" t="s">
        <v>22</v>
      </c>
    </row>
    <row r="10" spans="1:13">
      <c r="A10" s="16">
        <v>1.3</v>
      </c>
      <c r="B10" s="15" t="s">
        <v>41</v>
      </c>
      <c r="C10" s="18" t="s">
        <v>21</v>
      </c>
      <c r="D10" s="15" t="s">
        <v>42</v>
      </c>
      <c r="E10" s="15" t="s">
        <v>55</v>
      </c>
      <c r="F10" s="18" t="s">
        <v>23</v>
      </c>
      <c r="G10" s="18" t="s">
        <v>24</v>
      </c>
      <c r="H10" s="15" t="s">
        <v>28</v>
      </c>
      <c r="I10" s="15">
        <v>1.883</v>
      </c>
      <c r="J10" s="18" t="s">
        <v>21</v>
      </c>
      <c r="K10" s="15" t="s">
        <v>22</v>
      </c>
      <c r="L10" s="15" t="s">
        <v>22</v>
      </c>
      <c r="M10" s="15" t="s">
        <v>22</v>
      </c>
    </row>
    <row r="11" spans="1:13">
      <c r="A11" s="16">
        <v>1.4</v>
      </c>
      <c r="B11" s="15" t="s">
        <v>43</v>
      </c>
      <c r="C11" s="18" t="s">
        <v>29</v>
      </c>
      <c r="D11" s="15" t="s">
        <v>44</v>
      </c>
      <c r="E11" s="15" t="s">
        <v>22</v>
      </c>
      <c r="F11" s="18" t="s">
        <v>23</v>
      </c>
      <c r="G11" s="18" t="s">
        <v>20</v>
      </c>
      <c r="H11" s="15" t="s">
        <v>45</v>
      </c>
      <c r="I11" s="15">
        <v>0.379</v>
      </c>
      <c r="J11" s="18" t="s">
        <v>21</v>
      </c>
      <c r="K11" s="15" t="s">
        <v>22</v>
      </c>
      <c r="L11" s="15" t="s">
        <v>22</v>
      </c>
      <c r="M11" s="15" t="s">
        <v>22</v>
      </c>
    </row>
    <row r="12" spans="1:13">
      <c r="A12" s="16">
        <v>1.5</v>
      </c>
      <c r="B12" s="15" t="s">
        <v>46</v>
      </c>
      <c r="C12" s="18" t="s">
        <v>21</v>
      </c>
      <c r="D12" s="15" t="s">
        <v>47</v>
      </c>
      <c r="E12" s="15" t="s">
        <v>56</v>
      </c>
      <c r="F12" s="18" t="s">
        <v>23</v>
      </c>
      <c r="G12" s="18" t="s">
        <v>26</v>
      </c>
      <c r="H12" s="15" t="s">
        <v>28</v>
      </c>
      <c r="I12" s="15">
        <v>0.111</v>
      </c>
      <c r="J12" s="18" t="s">
        <v>21</v>
      </c>
      <c r="K12" s="15" t="s">
        <v>22</v>
      </c>
      <c r="L12" s="15" t="s">
        <v>22</v>
      </c>
      <c r="M12" s="15" t="s">
        <v>22</v>
      </c>
    </row>
    <row r="13" spans="1:13" ht="31.5">
      <c r="A13" s="16">
        <v>1.6</v>
      </c>
      <c r="B13" s="15" t="s">
        <v>48</v>
      </c>
      <c r="C13" s="18" t="s">
        <v>21</v>
      </c>
      <c r="D13" s="15" t="s">
        <v>49</v>
      </c>
      <c r="E13" s="15" t="s">
        <v>22</v>
      </c>
      <c r="F13" s="18" t="s">
        <v>23</v>
      </c>
      <c r="G13" s="18" t="s">
        <v>24</v>
      </c>
      <c r="H13" s="15" t="s">
        <v>6</v>
      </c>
      <c r="I13" s="15">
        <v>6.6000000000000003E-2</v>
      </c>
      <c r="J13" s="18" t="s">
        <v>21</v>
      </c>
      <c r="K13" s="15" t="s">
        <v>22</v>
      </c>
      <c r="L13" s="15" t="s">
        <v>22</v>
      </c>
      <c r="M13" s="15" t="s">
        <v>22</v>
      </c>
    </row>
    <row r="14" spans="1:13">
      <c r="A14" s="16">
        <v>1.7</v>
      </c>
      <c r="B14" s="15" t="s">
        <v>50</v>
      </c>
      <c r="C14" s="18" t="s">
        <v>21</v>
      </c>
      <c r="D14" s="15" t="s">
        <v>51</v>
      </c>
      <c r="E14" s="15" t="s">
        <v>22</v>
      </c>
      <c r="F14" s="18" t="s">
        <v>23</v>
      </c>
      <c r="G14" s="18" t="s">
        <v>20</v>
      </c>
      <c r="H14" s="15" t="s">
        <v>7</v>
      </c>
      <c r="I14" s="15">
        <v>3.573</v>
      </c>
      <c r="J14" s="18" t="s">
        <v>21</v>
      </c>
      <c r="K14" s="15" t="s">
        <v>22</v>
      </c>
      <c r="L14" s="15" t="s">
        <v>22</v>
      </c>
      <c r="M14" s="15" t="s">
        <v>22</v>
      </c>
    </row>
    <row r="15" spans="1:13" ht="31.5">
      <c r="A15" s="16">
        <v>1.8</v>
      </c>
      <c r="B15" s="15" t="s">
        <v>52</v>
      </c>
      <c r="C15" s="18" t="s">
        <v>21</v>
      </c>
      <c r="D15" s="15" t="s">
        <v>53</v>
      </c>
      <c r="E15" s="15" t="s">
        <v>22</v>
      </c>
      <c r="F15" s="18" t="s">
        <v>23</v>
      </c>
      <c r="G15" s="18" t="s">
        <v>20</v>
      </c>
      <c r="H15" s="15" t="s">
        <v>6</v>
      </c>
      <c r="I15" s="15">
        <v>3.1E-2</v>
      </c>
      <c r="J15" s="18" t="s">
        <v>21</v>
      </c>
      <c r="K15" s="15" t="s">
        <v>22</v>
      </c>
      <c r="L15" s="15" t="s">
        <v>22</v>
      </c>
      <c r="M15" s="15" t="s">
        <v>22</v>
      </c>
    </row>
    <row r="16" spans="1:13" ht="63">
      <c r="A16" s="16">
        <v>2</v>
      </c>
      <c r="B16" s="21" t="s">
        <v>62</v>
      </c>
      <c r="C16" s="18"/>
      <c r="D16" s="21" t="s">
        <v>61</v>
      </c>
      <c r="E16" s="21"/>
      <c r="F16" s="18" t="s">
        <v>23</v>
      </c>
      <c r="G16" s="18" t="s">
        <v>20</v>
      </c>
      <c r="H16" s="21" t="s">
        <v>25</v>
      </c>
      <c r="I16" s="21" t="s">
        <v>25</v>
      </c>
      <c r="J16" s="18" t="s">
        <v>63</v>
      </c>
      <c r="K16" s="21"/>
      <c r="L16" s="21" t="s">
        <v>64</v>
      </c>
      <c r="M16" s="21" t="s">
        <v>65</v>
      </c>
    </row>
    <row r="17" spans="1:13" ht="15.75" customHeight="1">
      <c r="A17" s="16">
        <v>3</v>
      </c>
      <c r="B17" s="15" t="s">
        <v>67</v>
      </c>
      <c r="C17" s="18"/>
      <c r="D17" s="15" t="s">
        <v>66</v>
      </c>
      <c r="E17" s="15"/>
      <c r="F17" s="18" t="s">
        <v>23</v>
      </c>
      <c r="G17" s="18" t="s">
        <v>20</v>
      </c>
      <c r="H17" s="15" t="s">
        <v>25</v>
      </c>
      <c r="I17" s="15" t="s">
        <v>25</v>
      </c>
      <c r="J17" s="18" t="s">
        <v>70</v>
      </c>
      <c r="K17" s="15"/>
      <c r="L17" s="21" t="s">
        <v>68</v>
      </c>
      <c r="M17" s="15" t="s">
        <v>69</v>
      </c>
    </row>
    <row r="18" spans="1:13">
      <c r="A18" s="16"/>
      <c r="B18" s="15"/>
      <c r="C18" s="18"/>
      <c r="D18" s="15"/>
      <c r="E18" s="15"/>
      <c r="F18" s="18"/>
      <c r="G18" s="18"/>
      <c r="H18" s="15"/>
      <c r="I18" s="15"/>
      <c r="J18" s="18"/>
      <c r="K18" s="15"/>
      <c r="L18" s="15"/>
      <c r="M18" s="15"/>
    </row>
    <row r="19" spans="1:13">
      <c r="A19" s="17"/>
      <c r="C19" s="19"/>
      <c r="F19" s="19"/>
      <c r="G19" s="19"/>
      <c r="J19" s="19"/>
    </row>
    <row r="20" spans="1:13">
      <c r="A20" s="14"/>
      <c r="B20" s="14"/>
      <c r="C20" s="14"/>
      <c r="D20" s="14"/>
      <c r="E20" s="14"/>
      <c r="F20" s="14"/>
      <c r="G20" s="14"/>
      <c r="H20" s="14" t="s">
        <v>54</v>
      </c>
    </row>
    <row r="21" spans="1:13">
      <c r="A21" s="14"/>
      <c r="B21" s="14"/>
      <c r="C21" s="14"/>
      <c r="D21" s="14"/>
      <c r="E21" s="14"/>
      <c r="F21" s="14"/>
      <c r="G21" s="14"/>
      <c r="H21" s="14"/>
    </row>
    <row r="22" spans="1:13">
      <c r="A22" s="14"/>
      <c r="B22" s="14" t="s">
        <v>2</v>
      </c>
      <c r="C22" s="14"/>
      <c r="D22" s="14" t="s">
        <v>3</v>
      </c>
      <c r="E22" s="14"/>
      <c r="F22" s="14"/>
      <c r="G22" s="14" t="s">
        <v>4</v>
      </c>
      <c r="H22" s="14"/>
    </row>
  </sheetData>
  <sheetProtection formatCells="0" formatColumns="0" formatRows="0" insertColumns="0" insertRows="0" insertHyperlinks="0" deleteColumns="0" deleteRows="0" sort="0" autoFilter="0" pivotTables="0"/>
  <mergeCells count="7">
    <mergeCell ref="C3:I3"/>
    <mergeCell ref="A1:K1"/>
    <mergeCell ref="A2:K2"/>
    <mergeCell ref="A4:B4"/>
    <mergeCell ref="A3:B3"/>
    <mergeCell ref="J3:M3"/>
    <mergeCell ref="C4:M4"/>
  </mergeCells>
  <pageMargins left="0.59862745098039216" right="0.2192156862745098" top="0.85156862745098039" bottom="0.99068627450980395" header="0.66607843137254907" footer="0.3"/>
  <pageSetup paperSize="9" scale="86" fitToHeight="0" orientation="landscape" r:id="rId1"/>
  <headerFooter>
    <oddHeader>&amp;LTEST CỤM CHECK CAMERA&amp;CMã: TPAD.F9960&amp;RNguoi sua doi: THANH.BV  Series: 42499.5613194444</oddHeader>
    <oddFooter>&amp;L&amp;"Times New Roman,Regular"TP-TT13-BM04/ Lsd:09
&amp;"Free 3 of 9,Regular"&amp;36*1.&amp;P.&amp;N*&amp;RTHANH.BV&amp;"Times New Roman,Regular" / Trang &amp;P&amp;CDate modified: 09/05/2016 1:28:18 PM_x000D_&amp;"Free 3 of 9"&amp;36*2.BM04.F9960*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mdBOM">
          <controlPr defaultSize="0" autoLine="0" autoPict="0" r:id="rId5">
            <anchor moveWithCells="1">
              <from>
                <xdr:col>11</xdr:col>
                <xdr:colOff>57150</xdr:colOff>
                <xdr:row>0</xdr:row>
                <xdr:rowOff>104775</xdr:rowOff>
              </from>
              <to>
                <xdr:col>11</xdr:col>
                <xdr:colOff>838200</xdr:colOff>
                <xdr:row>0</xdr:row>
                <xdr:rowOff>523875</xdr:rowOff>
              </to>
            </anchor>
          </controlPr>
        </control>
      </mc:Choice>
      <mc:Fallback>
        <control shapeId="1028" r:id="rId4" name="cmdBOM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mport">
            <anchor moveWithCells="1" sizeWithCells="1">
              <from>
                <xdr:col>9</xdr:col>
                <xdr:colOff>238125</xdr:colOff>
                <xdr:row>0</xdr:row>
                <xdr:rowOff>104775</xdr:rowOff>
              </from>
              <to>
                <xdr:col>11</xdr:col>
                <xdr:colOff>0</xdr:colOff>
                <xdr:row>0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mSave">
            <anchor moveWithCells="1" sizeWithCells="1">
              <from>
                <xdr:col>9</xdr:col>
                <xdr:colOff>257175</xdr:colOff>
                <xdr:row>0</xdr:row>
                <xdr:rowOff>1457325</xdr:rowOff>
              </from>
              <to>
                <xdr:col>11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7" sqref="A7"/>
    </sheetView>
  </sheetViews>
  <sheetFormatPr defaultRowHeight="12.75"/>
  <cols>
    <col min="1" max="1" width="43.140625" customWidth="1"/>
  </cols>
  <sheetData>
    <row r="1" spans="1:1" ht="15">
      <c r="A1" s="7" t="str">
        <f ca="1">"Tân Phát: Ngày " &amp; DAY(NOW()) &amp;" Tháng " &amp; MONTH(NOW()) &amp;" Năm " &amp; YEAR(NOW())</f>
        <v>Tân Phát: Ngày 20 Tháng 5 Năm 2016</v>
      </c>
    </row>
    <row r="2" spans="1:1" ht="14.25">
      <c r="A2" s="8" t="s">
        <v>2</v>
      </c>
    </row>
    <row r="3" spans="1:1" ht="14.25">
      <c r="A3" s="8" t="s">
        <v>3</v>
      </c>
    </row>
    <row r="4" spans="1:1" ht="14.25">
      <c r="A4" s="8" t="s">
        <v>4</v>
      </c>
    </row>
    <row r="5" spans="1:1" ht="14.25">
      <c r="A5" s="8" t="s">
        <v>6</v>
      </c>
    </row>
    <row r="6" spans="1:1" ht="14.25">
      <c r="A6" s="8" t="s">
        <v>7</v>
      </c>
    </row>
    <row r="7" spans="1:1" ht="14.25">
      <c r="A7" s="8" t="s">
        <v>8</v>
      </c>
    </row>
  </sheetData>
  <pageMargins left="0.7" right="0.7" top="0.75" bottom="0.75" header="0.3" footer="0.3"/>
  <pageSetup paperSize="9" orientation="portrait" horizontalDpi="300" verticalDpi="300" r:id="rId1"/>
  <headerFooter>
    <oddHeader>&amp;RNguoi sua doi: DAT.NQ  Series: 41605.5631597222</oddHeader>
    <oddFooter>&amp;L&amp;"Times New Roman,Regular"TP-TT13-BM04/ Lsd:07&amp;CLan sua doi cuoi cung: 11/27/2013 1:30:57 PM&amp;R&amp;"Times New Roman,Regular" / Trang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DMVT</vt:lpstr>
      <vt:lpstr>Data</vt:lpstr>
      <vt:lpstr>DMVT!ExternalData_136</vt:lpstr>
    </vt:vector>
  </TitlesOfParts>
  <Company>0936.7766.84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Nguyen Van Thao</cp:lastModifiedBy>
  <cp:lastPrinted>2016-05-09T06:23:58Z</cp:lastPrinted>
  <dcterms:created xsi:type="dcterms:W3CDTF">2011-09-05T03:01:53Z</dcterms:created>
  <dcterms:modified xsi:type="dcterms:W3CDTF">2016-05-20T03:27:52Z</dcterms:modified>
</cp:coreProperties>
</file>